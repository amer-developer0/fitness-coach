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دربين" sheetId="1" state="visible" r:id="rId3"/>
    <sheet name="إحصائي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<sst xmlns="http://schemas.openxmlformats.org/spreadsheetml/2006/main" count="180" uniqueCount="129">
  <si>
    <t xml:space="preserve">#</t>
  </si>
  <si>
    <t xml:space="preserve">الاسم الكامل</t>
  </si>
  <si>
    <t xml:space="preserve">اليوزر نيم</t>
  </si>
  <si>
    <t xml:space="preserve">الرابط المباشر</t>
  </si>
  <si>
    <t xml:space="preserve">المتابعون</t>
  </si>
  <si>
    <t xml:space="preserve">موثق؟</t>
  </si>
  <si>
    <t xml:space="preserve">ملاحظات</t>
  </si>
  <si>
    <t xml:space="preserve">Mostafa Gamal</t>
  </si>
  <si>
    <t xml:space="preserve">c.mostafagamal</t>
  </si>
  <si>
    <t xml:space="preserve">https://www.instagram.com/c.mostafagamal</t>
  </si>
  <si>
    <t xml:space="preserve">❌</t>
  </si>
  <si>
    <t xml:space="preserve">مدرب لياقة، Online coaching، Certified nutritionist CFT &amp; PT، Chemistry in Food - AUC</t>
  </si>
  <si>
    <t xml:space="preserve">Omar Saad</t>
  </si>
  <si>
    <t xml:space="preserve">omarsaaddm</t>
  </si>
  <si>
    <t xml:space="preserve">https://www.instagram.com/omarsaaddm</t>
  </si>
  <si>
    <t xml:space="preserve">Strength &amp; conditioning specialist، Certified Sports nutritionist، Online Coaching 24/7</t>
  </si>
  <si>
    <t xml:space="preserve">Abdallah Gado</t>
  </si>
  <si>
    <t xml:space="preserve">abdallahgadoo</t>
  </si>
  <si>
    <t xml:space="preserve">https://www.instagram.com/abdallahgadoo</t>
  </si>
  <si>
    <t xml:space="preserve">Physiotherapist، Online Coach، Founder @re_dot، موقع dr-gado.com</t>
  </si>
  <si>
    <t xml:space="preserve">Mohamed Kafafy</t>
  </si>
  <si>
    <t xml:space="preserve">mohkaf2021</t>
  </si>
  <si>
    <t xml:space="preserve">https://www.instagram.com/mohkaf2021</t>
  </si>
  <si>
    <t xml:space="preserve">Athlete / Consultant، AR/EN/DE، Sharing exercises &amp; nutrition plans، تحولات</t>
  </si>
  <si>
    <t xml:space="preserve">Mahmoud Arafat</t>
  </si>
  <si>
    <t xml:space="preserve">mahmoud_arafat10</t>
  </si>
  <si>
    <t xml:space="preserve">https://www.instagram.com/mahmoud_arafat10</t>
  </si>
  <si>
    <t xml:space="preserve">مدرب خاص، 1st place Arab championship 2023، 8th place Mr Universe 2024، 500+ client، civil engineer</t>
  </si>
  <si>
    <t xml:space="preserve">Omar Ghaly</t>
  </si>
  <si>
    <t xml:space="preserve">omar_el_ghaly</t>
  </si>
  <si>
    <t xml:space="preserve">https://www.instagram.com/omar_el_ghaly</t>
  </si>
  <si>
    <t xml:space="preserve">مدرب لياقة، Founder @spreadytogo، Co-Founder @kenz_glowy، Online coaching، YouTube</t>
  </si>
  <si>
    <t xml:space="preserve">Dr Ebrahim Elsayed</t>
  </si>
  <si>
    <t xml:space="preserve">dbs_doctorbodyscience</t>
  </si>
  <si>
    <t xml:space="preserve">https://www.instagram.com/dbs_doctorbodyscience</t>
  </si>
  <si>
    <t xml:space="preserve">Certified trainer، Doctor of physical therapy، Online coaching، YouTube</t>
  </si>
  <si>
    <t xml:space="preserve">Mouh Amed</t>
  </si>
  <si>
    <t xml:space="preserve">shark___md</t>
  </si>
  <si>
    <t xml:space="preserve">https://www.instagram.com/shark___md</t>
  </si>
  <si>
    <t xml:space="preserve">Bodybuilding Coach، Personal Trainer، Algeria Cup 2024 &amp; 2025، National Champ، Online coaching</t>
  </si>
  <si>
    <t xml:space="preserve">Mazen Ibrahim</t>
  </si>
  <si>
    <t xml:space="preserve">mazen.coach</t>
  </si>
  <si>
    <t xml:space="preserve">https://www.instagram.com/mazen.coach</t>
  </si>
  <si>
    <t xml:space="preserve">Certified Online Coach، Support &amp; Guidance 24/7، Custom Meal &amp; Workout Plans</t>
  </si>
  <si>
    <t xml:space="preserve">Youseif Amr</t>
  </si>
  <si>
    <t xml:space="preserve">youseifamr</t>
  </si>
  <si>
    <t xml:space="preserve">https://www.instagram.com/youseifamr</t>
  </si>
  <si>
    <t xml:space="preserve">Worldwide Online Coach، KingOfShredz، Fat loss specialist، Flexible Diet</t>
  </si>
  <si>
    <t xml:space="preserve">Kazem</t>
  </si>
  <si>
    <t xml:space="preserve">_kazem</t>
  </si>
  <si>
    <t xml:space="preserve">https://www.instagram.com/_kazem</t>
  </si>
  <si>
    <t xml:space="preserve">✅</t>
  </si>
  <si>
    <t xml:space="preserve">Hybrid Athlete، Content Creator، Model، Online Coach، Haxel: Kazem15</t>
  </si>
  <si>
    <t xml:space="preserve">Abdelrhman Diab</t>
  </si>
  <si>
    <t xml:space="preserve">abdelrhmandiab96</t>
  </si>
  <si>
    <t xml:space="preserve">https://www.instagram.com/abdelrhmandiab96</t>
  </si>
  <si>
    <t xml:space="preserve">NATURAL PROFESSIONAL WORLD CHAMPION، ISSA-Certified Personal Trainer، Online coaching</t>
  </si>
  <si>
    <t xml:space="preserve">Belal Badawy</t>
  </si>
  <si>
    <t xml:space="preserve">belalbadawy_</t>
  </si>
  <si>
    <t xml:space="preserve">https://www.instagram.com/belalbadawy_</t>
  </si>
  <si>
    <t xml:space="preserve">Online coaching، تحولات، مقيم في الإمارات</t>
  </si>
  <si>
    <t xml:space="preserve">Ahmed Ramadan Hamed</t>
  </si>
  <si>
    <t xml:space="preserve">team.a.r</t>
  </si>
  <si>
    <t xml:space="preserve">https://www.instagram.com/team.a.r</t>
  </si>
  <si>
    <t xml:space="preserve">أخصائي تغذية رياضية، مدرب معتمد دولياً، 10000+ تحول، WhatsApp: 01040569515</t>
  </si>
  <si>
    <t xml:space="preserve">Ahmed Khaled (TAYWANY)</t>
  </si>
  <si>
    <t xml:space="preserve">ahmedkhaled__t</t>
  </si>
  <si>
    <t xml:space="preserve">https://www.instagram.com/ahmedkhaled__t</t>
  </si>
  <si>
    <t xml:space="preserve">مدرب لياقة، Africa Natural Champion، Online coaching، WhatsApp: 01112095716</t>
  </si>
  <si>
    <t xml:space="preserve">Mustafa Ashraf</t>
  </si>
  <si>
    <t xml:space="preserve">mustafa_ashraf_26</t>
  </si>
  <si>
    <t xml:space="preserve">https://www.instagram.com/mustafa_ashraf_26</t>
  </si>
  <si>
    <t xml:space="preserve">PROFESSIONAL &amp; Prep COACH، Online coaching، @team_ma000</t>
  </si>
  <si>
    <t xml:space="preserve">Abdelrhman Amer</t>
  </si>
  <si>
    <t xml:space="preserve">amer.veins</t>
  </si>
  <si>
    <t xml:space="preserve">https://www.instagram.com/amer.veins</t>
  </si>
  <si>
    <t xml:space="preserve">Bodybuilder trainer، Physique Athlete، Online Coach، YouTube</t>
  </si>
  <si>
    <t xml:space="preserve">Ahmed Elsheimy</t>
  </si>
  <si>
    <t xml:space="preserve">ahmed.elsheimy</t>
  </si>
  <si>
    <t xml:space="preserve">https://www.instagram.com/ahmed.elsheimy</t>
  </si>
  <si>
    <t xml:space="preserve">Online Coach، Kickboxing Champion EGY/GER، Sports Science Graduate، PT + Nutrition + Rehab</t>
  </si>
  <si>
    <t xml:space="preserve">Farouk Kamal</t>
  </si>
  <si>
    <t xml:space="preserve">farouk.kamall</t>
  </si>
  <si>
    <t xml:space="preserve">https://www.instagram.com/farouk.kamall</t>
  </si>
  <si>
    <t xml:space="preserve">OverAll World Champ WNBF PRO، Dubai Muscle Beach، Online coaching، Lifetime Natural</t>
  </si>
  <si>
    <t xml:space="preserve">Coach Adham</t>
  </si>
  <si>
    <t xml:space="preserve">coach.adham_7</t>
  </si>
  <si>
    <t xml:space="preserve">https://www.instagram.com/coach.adham_7</t>
  </si>
  <si>
    <t xml:space="preserve">Head-coach @fitness9.eg، Online Coaching، Muscle &amp; Mindset</t>
  </si>
  <si>
    <t xml:space="preserve">3Asem Helal</t>
  </si>
  <si>
    <t xml:space="preserve">_dr.3asem</t>
  </si>
  <si>
    <t xml:space="preserve">https://www.instagram.com/_dr.3asem</t>
  </si>
  <si>
    <t xml:space="preserve">Medical Doctor، Fitness Coach، Athlete</t>
  </si>
  <si>
    <t xml:space="preserve">Dr. Ramy Emad</t>
  </si>
  <si>
    <t xml:space="preserve">re_fittness</t>
  </si>
  <si>
    <t xml:space="preserve">https://www.instagram.com/re_fittness</t>
  </si>
  <si>
    <t xml:space="preserve">طبيب بشري، Online Coach، E-book متاح</t>
  </si>
  <si>
    <t xml:space="preserve">Ali Abdelkhaleq</t>
  </si>
  <si>
    <t xml:space="preserve">ak.coaching</t>
  </si>
  <si>
    <t xml:space="preserve">https://www.instagram.com/ak.coaching</t>
  </si>
  <si>
    <t xml:space="preserve">Online Fitness &amp; Nutrition Coach، ISSA Elite Certified (CNS, CBS, CFT)، Natural athletes</t>
  </si>
  <si>
    <t xml:space="preserve">Mostafa Elghboshy</t>
  </si>
  <si>
    <t xml:space="preserve">itsmostafa.elghboshy</t>
  </si>
  <si>
    <t xml:space="preserve">https://www.instagram.com/itsmostafa.elghboshy</t>
  </si>
  <si>
    <t xml:space="preserve">Personal coach، Natural physique، DM for coaching</t>
  </si>
  <si>
    <t xml:space="preserve">Ali Ezz</t>
  </si>
  <si>
    <t xml:space="preserve">3li_ezz</t>
  </si>
  <si>
    <t xml:space="preserve">https://www.instagram.com/3li_ezz</t>
  </si>
  <si>
    <t xml:space="preserve">Online Coaching، Certified Fitness trainer، Gold's Gym Maadi، مصر</t>
  </si>
  <si>
    <t xml:space="preserve">Alhussein1</t>
  </si>
  <si>
    <t xml:space="preserve">alhusseinn.1</t>
  </si>
  <si>
    <t xml:space="preserve">https://www.instagram.com/alhusseinn.1</t>
  </si>
  <si>
    <t xml:space="preserve">Online Coach +1200 Clients، موقع alhussein.fit</t>
  </si>
  <si>
    <t xml:space="preserve">Ahmed Wael</t>
  </si>
  <si>
    <t xml:space="preserve">ahmedwaelofficiall</t>
  </si>
  <si>
    <t xml:space="preserve">https://www.instagram.com/ahmedwaelofficiall</t>
  </si>
  <si>
    <t xml:space="preserve">طبيب، International nutritionist &amp; PT، KAU، Online Coaching</t>
  </si>
  <si>
    <t xml:space="preserve">📊 إحصائيات المجموعة الأولى — fitness_leads</t>
  </si>
  <si>
    <t xml:space="preserve">البيان</t>
  </si>
  <si>
    <t xml:space="preserve">القيمة</t>
  </si>
  <si>
    <t xml:space="preserve">إجمالي المدربين</t>
  </si>
  <si>
    <t xml:space="preserve">عدد الموثقين ✅</t>
  </si>
  <si>
    <t xml:space="preserve">عدد غير الموثقين ❌</t>
  </si>
  <si>
    <t xml:space="preserve">أعلى عدد متابعين</t>
  </si>
  <si>
    <t xml:space="preserve">متوسط المتابعين</t>
  </si>
  <si>
    <t xml:space="preserve">إجمالي المتابعين</t>
  </si>
  <si>
    <t xml:space="preserve">🏆 الموثقون — مرتبون تنازلياً بالمتابعين</t>
  </si>
  <si>
    <t xml:space="preserve">الاسم</t>
  </si>
  <si>
    <t xml:space="preserve">الرابط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</si>
</sst>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C9E1F5"/>
      </patternFill>
    </fill>
    <fill>
      <patternFill patternType="solid">
        <fgColor rgb="FFC9E1F5"/>
        <bgColor rgb="FFDDEE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563C1"/>
      <rgbColor rgb="FFC9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c.mostafagamal" TargetMode="External"/><Relationship Id="rId2" Type="http://schemas.openxmlformats.org/officeDocument/2006/relationships/hyperlink" Target="https://www.instagram.com/omarsaaddm" TargetMode="External"/><Relationship Id="rId3" Type="http://schemas.openxmlformats.org/officeDocument/2006/relationships/hyperlink" Target="https://www.instagram.com/abdallahgadoo" TargetMode="External"/><Relationship Id="rId4" Type="http://schemas.openxmlformats.org/officeDocument/2006/relationships/hyperlink" Target="https://www.instagram.com/mohkaf2021" TargetMode="External"/><Relationship Id="rId5" Type="http://schemas.openxmlformats.org/officeDocument/2006/relationships/hyperlink" Target="https://www.instagram.com/mahmoud_arafat10" TargetMode="External"/><Relationship Id="rId6" Type="http://schemas.openxmlformats.org/officeDocument/2006/relationships/hyperlink" Target="https://www.instagram.com/omar_el_ghaly" TargetMode="External"/><Relationship Id="rId7" Type="http://schemas.openxmlformats.org/officeDocument/2006/relationships/hyperlink" Target="https://www.instagram.com/dbs_doctorbodyscience" TargetMode="External"/><Relationship Id="rId8" Type="http://schemas.openxmlformats.org/officeDocument/2006/relationships/hyperlink" Target="https://www.instagram.com/shark___md" TargetMode="External"/><Relationship Id="rId9" Type="http://schemas.openxmlformats.org/officeDocument/2006/relationships/hyperlink" Target="https://www.instagram.com/mazen.coach" TargetMode="External"/><Relationship Id="rId10" Type="http://schemas.openxmlformats.org/officeDocument/2006/relationships/hyperlink" Target="https://www.instagram.com/youseifamr" TargetMode="External"/><Relationship Id="rId11" Type="http://schemas.openxmlformats.org/officeDocument/2006/relationships/hyperlink" Target="https://www.instagram.com/_kazem" TargetMode="External"/><Relationship Id="rId12" Type="http://schemas.openxmlformats.org/officeDocument/2006/relationships/hyperlink" Target="https://www.instagram.com/abdelrhmandiab96" TargetMode="External"/><Relationship Id="rId13" Type="http://schemas.openxmlformats.org/officeDocument/2006/relationships/hyperlink" Target="https://www.instagram.com/belalbadawy_" TargetMode="External"/><Relationship Id="rId14" Type="http://schemas.openxmlformats.org/officeDocument/2006/relationships/hyperlink" Target="https://www.instagram.com/team.a.r" TargetMode="External"/><Relationship Id="rId15" Type="http://schemas.openxmlformats.org/officeDocument/2006/relationships/hyperlink" Target="https://www.instagram.com/ahmedkhaled__t" TargetMode="External"/><Relationship Id="rId16" Type="http://schemas.openxmlformats.org/officeDocument/2006/relationships/hyperlink" Target="https://www.instagram.com/mustafa_ashraf_26" TargetMode="External"/><Relationship Id="rId17" Type="http://schemas.openxmlformats.org/officeDocument/2006/relationships/hyperlink" Target="https://www.instagram.com/amer.veins" TargetMode="External"/><Relationship Id="rId18" Type="http://schemas.openxmlformats.org/officeDocument/2006/relationships/hyperlink" Target="https://www.instagram.com/ahmed.elsheimy" TargetMode="External"/><Relationship Id="rId19" Type="http://schemas.openxmlformats.org/officeDocument/2006/relationships/hyperlink" Target="https://www.instagram.com/farouk.kamall" TargetMode="External"/><Relationship Id="rId20" Type="http://schemas.openxmlformats.org/officeDocument/2006/relationships/hyperlink" Target="https://www.instagram.com/coach.adham_7" TargetMode="External"/><Relationship Id="rId21" Type="http://schemas.openxmlformats.org/officeDocument/2006/relationships/hyperlink" Target="https://www.instagram.com/_dr.3asem" TargetMode="External"/><Relationship Id="rId22" Type="http://schemas.openxmlformats.org/officeDocument/2006/relationships/hyperlink" Target="https://www.instagram.com/re_fittness" TargetMode="External"/><Relationship Id="rId23" Type="http://schemas.openxmlformats.org/officeDocument/2006/relationships/hyperlink" Target="https://www.instagram.com/ak.coaching" TargetMode="External"/><Relationship Id="rId24" Type="http://schemas.openxmlformats.org/officeDocument/2006/relationships/hyperlink" Target="https://www.instagram.com/itsmostafa.elghboshy" TargetMode="External"/><Relationship Id="rId25" Type="http://schemas.openxmlformats.org/officeDocument/2006/relationships/hyperlink" Target="https://www.instagram.com/3li_ezz" TargetMode="External"/><Relationship Id="rId26" Type="http://schemas.openxmlformats.org/officeDocument/2006/relationships/hyperlink" Target="https://www.instagram.com/alhusseinn.1" TargetMode="External"/><Relationship Id="rId27" Type="http://schemas.openxmlformats.org/officeDocument/2006/relationships/hyperlink" Target="https://www.instagram.com/ahmedwaelofficial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tagram.com/ak.coaching" TargetMode="External"/><Relationship Id="rId2" Type="http://schemas.openxmlformats.org/officeDocument/2006/relationships/hyperlink" Target="https://www.instagram.com/alhusseinn.1" TargetMode="External"/><Relationship Id="rId3" Type="http://schemas.openxmlformats.org/officeDocument/2006/relationships/hyperlink" Target="https://www.instagram.com/farouk.kamall" TargetMode="External"/><Relationship Id="rId4" Type="http://schemas.openxmlformats.org/officeDocument/2006/relationships/hyperlink" Target="https://www.instagram.com/mustafa_ashraf_26" TargetMode="External"/><Relationship Id="rId5" Type="http://schemas.openxmlformats.org/officeDocument/2006/relationships/hyperlink" Target="https://www.instagram.com/ahmedwaelofficiall" TargetMode="External"/><Relationship Id="rId6" Type="http://schemas.openxmlformats.org/officeDocument/2006/relationships/hyperlink" Target="https://www.instagram.com/abdelrhmandiab96" TargetMode="External"/><Relationship Id="rId7" Type="http://schemas.openxmlformats.org/officeDocument/2006/relationships/hyperlink" Target="https://www.instagram.com/ahmed.elsheimy" TargetMode="External"/><Relationship Id="rId8" Type="http://schemas.openxmlformats.org/officeDocument/2006/relationships/hyperlink" Target="https://www.instagram.com/_kaze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5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55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2" t="n">
        <v>16400</v>
      </c>
      <c r="F2" s="2" t="s">
        <v>10</v>
      </c>
      <c r="G2" s="3" t="s">
        <v>11</v>
      </c>
    </row>
    <row r="3" customFormat="false" ht="30" hidden="false" customHeight="true" outlineLevel="0" collapsed="false">
      <c r="A3" s="5" t="n">
        <v>2</v>
      </c>
      <c r="B3" s="6" t="s">
        <v>12</v>
      </c>
      <c r="C3" s="6" t="s">
        <v>13</v>
      </c>
      <c r="D3" s="7" t="s">
        <v>14</v>
      </c>
      <c r="E3" s="5" t="n">
        <v>1517</v>
      </c>
      <c r="F3" s="5" t="s">
        <v>10</v>
      </c>
      <c r="G3" s="6" t="s">
        <v>15</v>
      </c>
    </row>
    <row r="4" customFormat="false" ht="30" hidden="false" customHeight="true" outlineLevel="0" collapsed="false">
      <c r="A4" s="2" t="n">
        <v>3</v>
      </c>
      <c r="B4" s="3" t="s">
        <v>16</v>
      </c>
      <c r="C4" s="3" t="s">
        <v>17</v>
      </c>
      <c r="D4" s="4" t="s">
        <v>18</v>
      </c>
      <c r="E4" s="2" t="n">
        <v>7333</v>
      </c>
      <c r="F4" s="2" t="s">
        <v>10</v>
      </c>
      <c r="G4" s="3" t="s">
        <v>19</v>
      </c>
    </row>
    <row r="5" customFormat="false" ht="30" hidden="false" customHeight="true" outlineLevel="0" collapsed="false">
      <c r="A5" s="5" t="n">
        <v>4</v>
      </c>
      <c r="B5" s="6" t="s">
        <v>20</v>
      </c>
      <c r="C5" s="6" t="s">
        <v>21</v>
      </c>
      <c r="D5" s="7" t="s">
        <v>22</v>
      </c>
      <c r="E5" s="5" t="n">
        <v>727</v>
      </c>
      <c r="F5" s="5" t="s">
        <v>10</v>
      </c>
      <c r="G5" s="6" t="s">
        <v>23</v>
      </c>
    </row>
    <row r="6" customFormat="false" ht="30" hidden="false" customHeight="true" outlineLevel="0" collapsed="false">
      <c r="A6" s="2" t="n">
        <v>5</v>
      </c>
      <c r="B6" s="3" t="s">
        <v>24</v>
      </c>
      <c r="C6" s="3" t="s">
        <v>25</v>
      </c>
      <c r="D6" s="4" t="s">
        <v>26</v>
      </c>
      <c r="E6" s="2" t="n">
        <v>3259</v>
      </c>
      <c r="F6" s="2" t="s">
        <v>10</v>
      </c>
      <c r="G6" s="3" t="s">
        <v>27</v>
      </c>
    </row>
    <row r="7" customFormat="false" ht="30" hidden="false" customHeight="true" outlineLevel="0" collapsed="false">
      <c r="A7" s="5" t="n">
        <v>6</v>
      </c>
      <c r="B7" s="6" t="s">
        <v>28</v>
      </c>
      <c r="C7" s="6" t="s">
        <v>29</v>
      </c>
      <c r="D7" s="7" t="s">
        <v>30</v>
      </c>
      <c r="E7" s="5" t="n">
        <v>418000</v>
      </c>
      <c r="F7" s="5" t="s">
        <v>10</v>
      </c>
      <c r="G7" s="6" t="s">
        <v>31</v>
      </c>
    </row>
    <row r="8" customFormat="false" ht="30" hidden="false" customHeight="true" outlineLevel="0" collapsed="false">
      <c r="A8" s="2" t="n">
        <v>7</v>
      </c>
      <c r="B8" s="3" t="s">
        <v>32</v>
      </c>
      <c r="C8" s="3" t="s">
        <v>33</v>
      </c>
      <c r="D8" s="4" t="s">
        <v>34</v>
      </c>
      <c r="E8" s="2" t="n">
        <v>2100</v>
      </c>
      <c r="F8" s="2" t="s">
        <v>10</v>
      </c>
      <c r="G8" s="3" t="s">
        <v>35</v>
      </c>
    </row>
    <row r="9" customFormat="false" ht="30" hidden="false" customHeight="true" outlineLevel="0" collapsed="false">
      <c r="A9" s="5" t="n">
        <v>8</v>
      </c>
      <c r="B9" s="6" t="s">
        <v>36</v>
      </c>
      <c r="C9" s="6" t="s">
        <v>37</v>
      </c>
      <c r="D9" s="7" t="s">
        <v>38</v>
      </c>
      <c r="E9" s="5" t="n">
        <v>20700</v>
      </c>
      <c r="F9" s="5" t="s">
        <v>10</v>
      </c>
      <c r="G9" s="6" t="s">
        <v>39</v>
      </c>
    </row>
    <row r="10" customFormat="false" ht="30" hidden="false" customHeight="true" outlineLevel="0" collapsed="false">
      <c r="A10" s="2" t="n">
        <v>9</v>
      </c>
      <c r="B10" s="3" t="s">
        <v>40</v>
      </c>
      <c r="C10" s="3" t="s">
        <v>41</v>
      </c>
      <c r="D10" s="4" t="s">
        <v>42</v>
      </c>
      <c r="E10" s="2" t="n">
        <v>1774</v>
      </c>
      <c r="F10" s="2" t="s">
        <v>10</v>
      </c>
      <c r="G10" s="3" t="s">
        <v>43</v>
      </c>
    </row>
    <row r="11" customFormat="false" ht="30" hidden="false" customHeight="true" outlineLevel="0" collapsed="false">
      <c r="A11" s="5" t="n">
        <v>10</v>
      </c>
      <c r="B11" s="6" t="s">
        <v>44</v>
      </c>
      <c r="C11" s="6" t="s">
        <v>45</v>
      </c>
      <c r="D11" s="7" t="s">
        <v>46</v>
      </c>
      <c r="E11" s="5" t="n">
        <v>182000</v>
      </c>
      <c r="F11" s="5" t="s">
        <v>10</v>
      </c>
      <c r="G11" s="6" t="s">
        <v>47</v>
      </c>
    </row>
    <row r="12" customFormat="false" ht="30" hidden="false" customHeight="true" outlineLevel="0" collapsed="false">
      <c r="A12" s="8" t="n">
        <v>11</v>
      </c>
      <c r="B12" s="9" t="s">
        <v>48</v>
      </c>
      <c r="C12" s="9" t="s">
        <v>49</v>
      </c>
      <c r="D12" s="10" t="s">
        <v>50</v>
      </c>
      <c r="E12" s="8" t="n">
        <v>17000</v>
      </c>
      <c r="F12" s="8" t="s">
        <v>51</v>
      </c>
      <c r="G12" s="9" t="s">
        <v>52</v>
      </c>
    </row>
    <row r="13" customFormat="false" ht="30" hidden="false" customHeight="true" outlineLevel="0" collapsed="false">
      <c r="A13" s="8" t="n">
        <v>12</v>
      </c>
      <c r="B13" s="9" t="s">
        <v>53</v>
      </c>
      <c r="C13" s="9" t="s">
        <v>54</v>
      </c>
      <c r="D13" s="10" t="s">
        <v>55</v>
      </c>
      <c r="E13" s="8" t="n">
        <v>27500</v>
      </c>
      <c r="F13" s="8" t="s">
        <v>51</v>
      </c>
      <c r="G13" s="9" t="s">
        <v>56</v>
      </c>
    </row>
    <row r="14" customFormat="false" ht="30" hidden="false" customHeight="true" outlineLevel="0" collapsed="false">
      <c r="A14" s="2" t="n">
        <v>13</v>
      </c>
      <c r="B14" s="3" t="s">
        <v>57</v>
      </c>
      <c r="C14" s="3" t="s">
        <v>58</v>
      </c>
      <c r="D14" s="4" t="s">
        <v>59</v>
      </c>
      <c r="E14" s="2" t="n">
        <v>48900</v>
      </c>
      <c r="F14" s="2" t="s">
        <v>10</v>
      </c>
      <c r="G14" s="3" t="s">
        <v>60</v>
      </c>
    </row>
    <row r="15" customFormat="false" ht="30" hidden="false" customHeight="true" outlineLevel="0" collapsed="false">
      <c r="A15" s="5" t="n">
        <v>14</v>
      </c>
      <c r="B15" s="6" t="s">
        <v>61</v>
      </c>
      <c r="C15" s="6" t="s">
        <v>62</v>
      </c>
      <c r="D15" s="7" t="s">
        <v>63</v>
      </c>
      <c r="E15" s="5" t="n">
        <v>18100</v>
      </c>
      <c r="F15" s="5" t="s">
        <v>10</v>
      </c>
      <c r="G15" s="6" t="s">
        <v>64</v>
      </c>
    </row>
    <row r="16" customFormat="false" ht="30" hidden="false" customHeight="true" outlineLevel="0" collapsed="false">
      <c r="A16" s="2" t="n">
        <v>15</v>
      </c>
      <c r="B16" s="3" t="s">
        <v>65</v>
      </c>
      <c r="C16" s="3" t="s">
        <v>66</v>
      </c>
      <c r="D16" s="4" t="s">
        <v>67</v>
      </c>
      <c r="E16" s="2" t="n">
        <v>30400</v>
      </c>
      <c r="F16" s="2" t="s">
        <v>10</v>
      </c>
      <c r="G16" s="3" t="s">
        <v>68</v>
      </c>
    </row>
    <row r="17" customFormat="false" ht="30" hidden="false" customHeight="true" outlineLevel="0" collapsed="false">
      <c r="A17" s="8" t="n">
        <v>16</v>
      </c>
      <c r="B17" s="9" t="s">
        <v>69</v>
      </c>
      <c r="C17" s="9" t="s">
        <v>70</v>
      </c>
      <c r="D17" s="10" t="s">
        <v>71</v>
      </c>
      <c r="E17" s="8" t="n">
        <v>61800</v>
      </c>
      <c r="F17" s="8" t="s">
        <v>51</v>
      </c>
      <c r="G17" s="9" t="s">
        <v>72</v>
      </c>
    </row>
    <row r="18" customFormat="false" ht="30" hidden="false" customHeight="true" outlineLevel="0" collapsed="false">
      <c r="A18" s="2" t="n">
        <v>17</v>
      </c>
      <c r="B18" s="3" t="s">
        <v>73</v>
      </c>
      <c r="C18" s="3" t="s">
        <v>74</v>
      </c>
      <c r="D18" s="4" t="s">
        <v>75</v>
      </c>
      <c r="E18" s="2" t="n">
        <v>3425</v>
      </c>
      <c r="F18" s="2" t="s">
        <v>10</v>
      </c>
      <c r="G18" s="3" t="s">
        <v>76</v>
      </c>
    </row>
    <row r="19" customFormat="false" ht="30" hidden="false" customHeight="true" outlineLevel="0" collapsed="false">
      <c r="A19" s="8" t="n">
        <v>18</v>
      </c>
      <c r="B19" s="9" t="s">
        <v>77</v>
      </c>
      <c r="C19" s="9" t="s">
        <v>78</v>
      </c>
      <c r="D19" s="10" t="s">
        <v>79</v>
      </c>
      <c r="E19" s="8" t="n">
        <v>21900</v>
      </c>
      <c r="F19" s="8" t="s">
        <v>51</v>
      </c>
      <c r="G19" s="9" t="s">
        <v>80</v>
      </c>
    </row>
    <row r="20" customFormat="false" ht="30" hidden="false" customHeight="true" outlineLevel="0" collapsed="false">
      <c r="A20" s="8" t="n">
        <v>19</v>
      </c>
      <c r="B20" s="9" t="s">
        <v>81</v>
      </c>
      <c r="C20" s="9" t="s">
        <v>82</v>
      </c>
      <c r="D20" s="10" t="s">
        <v>83</v>
      </c>
      <c r="E20" s="8" t="n">
        <v>146000</v>
      </c>
      <c r="F20" s="8" t="s">
        <v>51</v>
      </c>
      <c r="G20" s="9" t="s">
        <v>84</v>
      </c>
    </row>
    <row r="21" customFormat="false" ht="30" hidden="false" customHeight="true" outlineLevel="0" collapsed="false">
      <c r="A21" s="5" t="n">
        <v>20</v>
      </c>
      <c r="B21" s="6" t="s">
        <v>85</v>
      </c>
      <c r="C21" s="6" t="s">
        <v>86</v>
      </c>
      <c r="D21" s="7" t="s">
        <v>87</v>
      </c>
      <c r="E21" s="5" t="n">
        <v>3334</v>
      </c>
      <c r="F21" s="5" t="s">
        <v>10</v>
      </c>
      <c r="G21" s="6" t="s">
        <v>88</v>
      </c>
    </row>
    <row r="22" customFormat="false" ht="30" hidden="false" customHeight="true" outlineLevel="0" collapsed="false">
      <c r="A22" s="2" t="n">
        <v>21</v>
      </c>
      <c r="B22" s="3" t="s">
        <v>89</v>
      </c>
      <c r="C22" s="3" t="s">
        <v>90</v>
      </c>
      <c r="D22" s="4" t="s">
        <v>91</v>
      </c>
      <c r="E22" s="2" t="n">
        <v>6600</v>
      </c>
      <c r="F22" s="2" t="s">
        <v>10</v>
      </c>
      <c r="G22" s="3" t="s">
        <v>92</v>
      </c>
    </row>
    <row r="23" customFormat="false" ht="30" hidden="false" customHeight="true" outlineLevel="0" collapsed="false">
      <c r="A23" s="5" t="n">
        <v>22</v>
      </c>
      <c r="B23" s="6" t="s">
        <v>93</v>
      </c>
      <c r="C23" s="6" t="s">
        <v>94</v>
      </c>
      <c r="D23" s="7" t="s">
        <v>95</v>
      </c>
      <c r="E23" s="5" t="n">
        <v>61800</v>
      </c>
      <c r="F23" s="5" t="s">
        <v>10</v>
      </c>
      <c r="G23" s="6" t="s">
        <v>96</v>
      </c>
    </row>
    <row r="24" customFormat="false" ht="30" hidden="false" customHeight="true" outlineLevel="0" collapsed="false">
      <c r="A24" s="8" t="n">
        <v>23</v>
      </c>
      <c r="B24" s="9" t="s">
        <v>97</v>
      </c>
      <c r="C24" s="9" t="s">
        <v>98</v>
      </c>
      <c r="D24" s="10" t="s">
        <v>99</v>
      </c>
      <c r="E24" s="8" t="n">
        <v>386000</v>
      </c>
      <c r="F24" s="8" t="s">
        <v>51</v>
      </c>
      <c r="G24" s="9" t="s">
        <v>100</v>
      </c>
    </row>
    <row r="25" customFormat="false" ht="30" hidden="false" customHeight="true" outlineLevel="0" collapsed="false">
      <c r="A25" s="5" t="n">
        <v>24</v>
      </c>
      <c r="B25" s="6" t="s">
        <v>101</v>
      </c>
      <c r="C25" s="6" t="s">
        <v>102</v>
      </c>
      <c r="D25" s="7" t="s">
        <v>103</v>
      </c>
      <c r="E25" s="5" t="n">
        <v>4861</v>
      </c>
      <c r="F25" s="5" t="s">
        <v>10</v>
      </c>
      <c r="G25" s="6" t="s">
        <v>104</v>
      </c>
    </row>
    <row r="26" customFormat="false" ht="30" hidden="false" customHeight="true" outlineLevel="0" collapsed="false">
      <c r="A26" s="2" t="n">
        <v>25</v>
      </c>
      <c r="B26" s="3" t="s">
        <v>105</v>
      </c>
      <c r="C26" s="3" t="s">
        <v>106</v>
      </c>
      <c r="D26" s="4" t="s">
        <v>107</v>
      </c>
      <c r="E26" s="2" t="n">
        <v>54300</v>
      </c>
      <c r="F26" s="2" t="s">
        <v>10</v>
      </c>
      <c r="G26" s="3" t="s">
        <v>108</v>
      </c>
    </row>
    <row r="27" customFormat="false" ht="30" hidden="false" customHeight="true" outlineLevel="0" collapsed="false">
      <c r="A27" s="8" t="n">
        <v>26</v>
      </c>
      <c r="B27" s="9" t="s">
        <v>109</v>
      </c>
      <c r="C27" s="9" t="s">
        <v>110</v>
      </c>
      <c r="D27" s="10" t="s">
        <v>111</v>
      </c>
      <c r="E27" s="8" t="n">
        <v>286000</v>
      </c>
      <c r="F27" s="8" t="s">
        <v>51</v>
      </c>
      <c r="G27" s="9" t="s">
        <v>112</v>
      </c>
    </row>
    <row r="28" customFormat="false" ht="30" hidden="false" customHeight="true" outlineLevel="0" collapsed="false">
      <c r="A28" s="8" t="n">
        <v>27</v>
      </c>
      <c r="B28" s="9" t="s">
        <v>113</v>
      </c>
      <c r="C28" s="9" t="s">
        <v>114</v>
      </c>
      <c r="D28" s="10" t="s">
        <v>115</v>
      </c>
      <c r="E28" s="8" t="n">
        <v>36200</v>
      </c>
      <c r="F28" s="8" t="s">
        <v>51</v>
      </c>
      <c r="G28" s="9" t="s">
        <v>116</v>
      </c>
    </row>
  </sheetData>
  <hyperlinks>
    <hyperlink ref="D2" r:id="rId1" display="https://www.instagram.com/c.mostafagamal"/>
    <hyperlink ref="D3" r:id="rId2" display="https://www.instagram.com/omarsaaddm"/>
    <hyperlink ref="D4" r:id="rId3" display="https://www.instagram.com/abdallahgadoo"/>
    <hyperlink ref="D5" r:id="rId4" display="https://www.instagram.com/mohkaf2021"/>
    <hyperlink ref="D6" r:id="rId5" display="https://www.instagram.com/mahmoud_arafat10"/>
    <hyperlink ref="D7" r:id="rId6" display="https://www.instagram.com/omar_el_ghaly"/>
    <hyperlink ref="D8" r:id="rId7" display="https://www.instagram.com/dbs_doctorbodyscience"/>
    <hyperlink ref="D9" r:id="rId8" display="https://www.instagram.com/shark___md"/>
    <hyperlink ref="D10" r:id="rId9" display="https://www.instagram.com/mazen.coach"/>
    <hyperlink ref="D11" r:id="rId10" display="https://www.instagram.com/youseifamr"/>
    <hyperlink ref="D12" r:id="rId11" display="https://www.instagram.com/_kazem"/>
    <hyperlink ref="D13" r:id="rId12" display="https://www.instagram.com/abdelrhmandiab96"/>
    <hyperlink ref="D14" r:id="rId13" display="https://www.instagram.com/belalbadawy_"/>
    <hyperlink ref="D15" r:id="rId14" display="https://www.instagram.com/team.a.r"/>
    <hyperlink ref="D16" r:id="rId15" display="https://www.instagram.com/ahmedkhaled__t"/>
    <hyperlink ref="D17" r:id="rId16" display="https://www.instagram.com/mustafa_ashraf_26"/>
    <hyperlink ref="D18" r:id="rId17" display="https://www.instagram.com/amer.veins"/>
    <hyperlink ref="D19" r:id="rId18" display="https://www.instagram.com/ahmed.elsheimy"/>
    <hyperlink ref="D20" r:id="rId19" display="https://www.instagram.com/farouk.kamall"/>
    <hyperlink ref="D21" r:id="rId20" display="https://www.instagram.com/coach.adham_7"/>
    <hyperlink ref="D22" r:id="rId21" display="https://www.instagram.com/_dr.3asem"/>
    <hyperlink ref="D23" r:id="rId22" display="https://www.instagram.com/re_fittness"/>
    <hyperlink ref="D24" r:id="rId23" display="https://www.instagram.com/ak.coaching"/>
    <hyperlink ref="D25" r:id="rId24" display="https://www.instagram.com/itsmostafa.elghboshy"/>
    <hyperlink ref="D26" r:id="rId25" display="https://www.instagram.com/3li_ezz"/>
    <hyperlink ref="D27" r:id="rId26" display="https://www.instagram.com/alhusseinn.1"/>
    <hyperlink ref="D28" r:id="rId27" display="https://www.instagram.com/ahmedwaelofficial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10"/>
  </cols>
  <sheetData>
    <row r="2" customFormat="false" ht="17.15" hidden="false" customHeight="false" outlineLevel="0" collapsed="false">
      <c r="B2" s="11" t="s">
        <v>117</v>
      </c>
      <c r="C2" s="11"/>
      <c r="D2" s="11"/>
      <c r="E2" s="11"/>
      <c r="F2" s="11"/>
    </row>
    <row r="4" customFormat="false" ht="15" hidden="false" customHeight="false" outlineLevel="0" collapsed="false">
      <c r="B4" s="12" t="s">
        <v>118</v>
      </c>
      <c r="C4" s="12" t="s">
        <v>119</v>
      </c>
    </row>
    <row r="5" customFormat="false" ht="15" hidden="false" customHeight="false" outlineLevel="0" collapsed="false">
      <c r="B5" s="13" t="s">
        <v>120</v>
      </c>
      <c r="C5" s="14" t="n">
        <f aca="false">COUNTA(المدربين!B2:B1000)</f>
        <v>27</v>
      </c>
    </row>
    <row r="6" customFormat="false" ht="15" hidden="false" customHeight="false" outlineLevel="0" collapsed="false">
      <c r="B6" s="15" t="s">
        <v>121</v>
      </c>
      <c r="C6" s="16" t="n">
        <f aca="false">COUNTIF(المدربين!F2:F1000,"✅")</f>
        <v>8</v>
      </c>
    </row>
    <row r="7" customFormat="false" ht="15" hidden="false" customHeight="false" outlineLevel="0" collapsed="false">
      <c r="B7" s="13" t="s">
        <v>122</v>
      </c>
      <c r="C7" s="14" t="n">
        <f aca="false">COUNTIF(المدربين!F2:F1000,"❌")</f>
        <v>19</v>
      </c>
    </row>
    <row r="8" customFormat="false" ht="15" hidden="false" customHeight="false" outlineLevel="0" collapsed="false">
      <c r="B8" s="15" t="s">
        <v>123</v>
      </c>
      <c r="C8" s="16" t="n">
        <f aca="false">MAX(المدربين!E2:E1000)</f>
        <v>418000</v>
      </c>
    </row>
    <row r="9" customFormat="false" ht="15" hidden="false" customHeight="false" outlineLevel="0" collapsed="false">
      <c r="B9" s="13" t="s">
        <v>124</v>
      </c>
      <c r="C9" s="14" t="n">
        <f aca="false">AVERAGE(المدربين!E2:E1000)</f>
        <v>69182.5925925926</v>
      </c>
    </row>
    <row r="10" customFormat="false" ht="15" hidden="false" customHeight="false" outlineLevel="0" collapsed="false">
      <c r="B10" s="15" t="s">
        <v>125</v>
      </c>
      <c r="C10" s="16" t="n">
        <f aca="false">SUM(المدربين!E2:E1000)</f>
        <v>1867930</v>
      </c>
    </row>
    <row r="12" customFormat="false" ht="15" hidden="false" customHeight="false" outlineLevel="0" collapsed="false">
      <c r="B12" s="17" t="s">
        <v>126</v>
      </c>
      <c r="C12" s="17"/>
      <c r="D12" s="17"/>
      <c r="E12" s="17"/>
      <c r="F12" s="17"/>
    </row>
    <row r="13" customFormat="false" ht="15" hidden="false" customHeight="false" outlineLevel="0" collapsed="false">
      <c r="B13" s="12" t="s">
        <v>127</v>
      </c>
      <c r="C13" s="12" t="s">
        <v>2</v>
      </c>
      <c r="D13" s="12" t="s">
        <v>128</v>
      </c>
      <c r="E13" s="12" t="s">
        <v>4</v>
      </c>
    </row>
    <row r="14" customFormat="false" ht="15" hidden="false" customHeight="false" outlineLevel="0" collapsed="false">
      <c r="B14" s="18" t="s">
        <v>97</v>
      </c>
      <c r="C14" s="18" t="s">
        <v>98</v>
      </c>
      <c r="D14" s="19" t="s">
        <v>99</v>
      </c>
      <c r="E14" s="20" t="n">
        <v>386000</v>
      </c>
    </row>
    <row r="15" customFormat="false" ht="15" hidden="false" customHeight="false" outlineLevel="0" collapsed="false">
      <c r="B15" s="18" t="s">
        <v>109</v>
      </c>
      <c r="C15" s="18" t="s">
        <v>110</v>
      </c>
      <c r="D15" s="19" t="s">
        <v>111</v>
      </c>
      <c r="E15" s="20" t="n">
        <v>286000</v>
      </c>
    </row>
    <row r="16" customFormat="false" ht="15" hidden="false" customHeight="false" outlineLevel="0" collapsed="false">
      <c r="B16" s="18" t="s">
        <v>81</v>
      </c>
      <c r="C16" s="18" t="s">
        <v>82</v>
      </c>
      <c r="D16" s="19" t="s">
        <v>83</v>
      </c>
      <c r="E16" s="20" t="n">
        <v>146000</v>
      </c>
    </row>
    <row r="17" customFormat="false" ht="15" hidden="false" customHeight="false" outlineLevel="0" collapsed="false">
      <c r="B17" s="18" t="s">
        <v>69</v>
      </c>
      <c r="C17" s="18" t="s">
        <v>70</v>
      </c>
      <c r="D17" s="19" t="s">
        <v>71</v>
      </c>
      <c r="E17" s="20" t="n">
        <v>61800</v>
      </c>
    </row>
    <row r="18" customFormat="false" ht="15" hidden="false" customHeight="false" outlineLevel="0" collapsed="false">
      <c r="B18" s="18" t="s">
        <v>113</v>
      </c>
      <c r="C18" s="18" t="s">
        <v>114</v>
      </c>
      <c r="D18" s="19" t="s">
        <v>115</v>
      </c>
      <c r="E18" s="20" t="n">
        <v>36200</v>
      </c>
    </row>
    <row r="19" customFormat="false" ht="15" hidden="false" customHeight="false" outlineLevel="0" collapsed="false">
      <c r="B19" s="18" t="s">
        <v>53</v>
      </c>
      <c r="C19" s="18" t="s">
        <v>54</v>
      </c>
      <c r="D19" s="19" t="s">
        <v>55</v>
      </c>
      <c r="E19" s="20" t="n">
        <v>27500</v>
      </c>
    </row>
    <row r="20" customFormat="false" ht="15" hidden="false" customHeight="false" outlineLevel="0" collapsed="false">
      <c r="B20" s="18" t="s">
        <v>77</v>
      </c>
      <c r="C20" s="18" t="s">
        <v>78</v>
      </c>
      <c r="D20" s="19" t="s">
        <v>79</v>
      </c>
      <c r="E20" s="20" t="n">
        <v>21900</v>
      </c>
    </row>
    <row r="21" customFormat="false" ht="15" hidden="false" customHeight="false" outlineLevel="0" collapsed="false">
      <c r="B21" s="18" t="s">
        <v>48</v>
      </c>
      <c r="C21" s="18" t="s">
        <v>49</v>
      </c>
      <c r="D21" s="19" t="s">
        <v>50</v>
      </c>
      <c r="E21" s="20" t="n">
        <v>17000</v>
      </c>
    </row>
  </sheetData>
  <mergeCells count="2">
    <mergeCell ref="B2:F2"/>
    <mergeCell ref="B12:F12"/>
  </mergeCells>
  <hyperlinks>
    <hyperlink ref="D14" r:id="rId1" display="https://www.instagram.com/ak.coaching"/>
    <hyperlink ref="D15" r:id="rId2" display="https://www.instagram.com/alhusseinn.1"/>
    <hyperlink ref="D16" r:id="rId3" display="https://www.instagram.com/farouk.kamall"/>
    <hyperlink ref="D17" r:id="rId4" display="https://www.instagram.com/mustafa_ashraf_26"/>
    <hyperlink ref="D18" r:id="rId5" display="https://www.instagram.com/ahmedwaelofficiall"/>
    <hyperlink ref="D19" r:id="rId6" display="https://www.instagram.com/abdelrhmandiab96"/>
    <hyperlink ref="D20" r:id="rId7" display="https://www.instagram.com/ahmed.elsheimy"/>
    <hyperlink ref="D21" r:id="rId8" display="https://www.instagram.com/_kaze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2026-04-17T06:49:18Z</dcterms:created>
  <dc:creator>openpyxl</dc:creator>
  <dc:description/>
  <dc:language>en-US</dc:language>
  <cp:lastModifiedBy/>
  <dcterms:modified xsi:type="dcterms:W3CDTF">2026-04-17T06:49:18Z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