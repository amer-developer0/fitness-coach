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دربين" sheetId="1" state="visible" r:id="rId3"/>
    <sheet name="إحصائيا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<sst xmlns="http://schemas.openxmlformats.org/spreadsheetml/2006/main" count="150" uniqueCount="116">
  <si>
    <t xml:space="preserve">#</t>
  </si>
  <si>
    <t xml:space="preserve">الاسم الكامل</t>
  </si>
  <si>
    <t xml:space="preserve">اليوزر نيم</t>
  </si>
  <si>
    <t xml:space="preserve">الرابط المباشر</t>
  </si>
  <si>
    <t xml:space="preserve">المتابعون</t>
  </si>
  <si>
    <t xml:space="preserve">موثق؟</t>
  </si>
  <si>
    <t xml:space="preserve">ملاحظات</t>
  </si>
  <si>
    <t xml:space="preserve">Mohammed A. Raafat</t>
  </si>
  <si>
    <t xml:space="preserve">raafat_00</t>
  </si>
  <si>
    <t xml:space="preserve">https://www.instagram.com/raafat_00</t>
  </si>
  <si>
    <t xml:space="preserve">❌</t>
  </si>
  <si>
    <t xml:space="preserve">Coaching &amp; Model، كود RAFAT10، TikTok متاح</t>
  </si>
  <si>
    <t xml:space="preserve">Muhammad El-Hawary</t>
  </si>
  <si>
    <t xml:space="preserve">coachhawary</t>
  </si>
  <si>
    <t xml:space="preserve">https://www.instagram.com/coachhawary</t>
  </si>
  <si>
    <t xml:space="preserve">Elite Personal Trainer @fitnessfirstme، Online Coaching، دبي، WA: +971509074736</t>
  </si>
  <si>
    <t xml:space="preserve">شعيب</t>
  </si>
  <si>
    <t xml:space="preserve">sh3.fit</t>
  </si>
  <si>
    <t xml:space="preserve">https://www.instagram.com/sh3.fit</t>
  </si>
  <si>
    <t xml:space="preserve">✅</t>
  </si>
  <si>
    <t xml:space="preserve">مدرب أونلاين، متخصص خسارة دهون وبناء عضلات، رابط اشتراك متاح</t>
  </si>
  <si>
    <t xml:space="preserve">Arafa</t>
  </si>
  <si>
    <t xml:space="preserve">arafacoaching</t>
  </si>
  <si>
    <t xml:space="preserve">https://www.instagram.com/arafacoaching</t>
  </si>
  <si>
    <t xml:space="preserve">Online Coach، Gym Content، Founder @flex_gainzz، Co-Founder @kix_labs</t>
  </si>
  <si>
    <t xml:space="preserve">Dr. Fares</t>
  </si>
  <si>
    <t xml:space="preserve">fares.coaching</t>
  </si>
  <si>
    <t xml:space="preserve">https://www.instagram.com/fares.coaching</t>
  </si>
  <si>
    <t xml:space="preserve">Physiotherapist، Online coaching، TikTok متاح</t>
  </si>
  <si>
    <t xml:space="preserve">Khaled Anas</t>
  </si>
  <si>
    <t xml:space="preserve">khalledanas</t>
  </si>
  <si>
    <t xml:space="preserve">https://www.instagram.com/khalledanas</t>
  </si>
  <si>
    <t xml:space="preserve">FITNESS TRAINER، NASM CPT، Online coaching، السعودية</t>
  </si>
  <si>
    <t xml:space="preserve">Mohamed Farag</t>
  </si>
  <si>
    <t xml:space="preserve">cap_m.farag</t>
  </si>
  <si>
    <t xml:space="preserve">https://www.instagram.com/cap_m.farag</t>
  </si>
  <si>
    <t xml:space="preserve">Sports Science student، Online Coach، Bodybuilder</t>
  </si>
  <si>
    <t xml:space="preserve">Ahmad Qaissi</t>
  </si>
  <si>
    <t xml:space="preserve">ahmad_qaissi_fit</t>
  </si>
  <si>
    <t xml:space="preserve">https://www.instagram.com/ahmad_qaissi_fit</t>
  </si>
  <si>
    <t xml:space="preserve">Personal trainer &amp; Online coaching، Trainer of Trainers TOT، CPT by Ifpa &amp; sioss</t>
  </si>
  <si>
    <t xml:space="preserve">Ahmed ElSherif</t>
  </si>
  <si>
    <t xml:space="preserve">__ahmedelsheriif</t>
  </si>
  <si>
    <t xml:space="preserve">https://www.instagram.com/__ahmedelsheriif</t>
  </si>
  <si>
    <t xml:space="preserve">Online Coach، متخصص تدريب السيدات أونلاين</t>
  </si>
  <si>
    <t xml:space="preserve">Fitbros</t>
  </si>
  <si>
    <t xml:space="preserve">fitbros_911</t>
  </si>
  <si>
    <t xml:space="preserve">https://www.instagram.com/fitbros_911</t>
  </si>
  <si>
    <t xml:space="preserve">Online coaching، موقع fitbross-911.netlify.app</t>
  </si>
  <si>
    <t xml:space="preserve">Amr Elsisi</t>
  </si>
  <si>
    <t xml:space="preserve">2k1sisi</t>
  </si>
  <si>
    <t xml:space="preserve">https://www.instagram.com/2k1sisi</t>
  </si>
  <si>
    <t xml:space="preserve">Online Coaching، Certified NASM PT، Software Engineer، Future IFBB Pro</t>
  </si>
  <si>
    <t xml:space="preserve">H.A.K. Hut Anurak</t>
  </si>
  <si>
    <t xml:space="preserve">h.a.k._hut_anurak_online_co</t>
  </si>
  <si>
    <t xml:space="preserve">https://www.instagram.com/h.a.k._hut_anurak_online_co</t>
  </si>
  <si>
    <t xml:space="preserve">Pro Bodybuilder، PCA، NPC IFBB Pro qualifier، Mr Thailand 3X، Online Coaching 1:1</t>
  </si>
  <si>
    <t xml:space="preserve">Ahmad Sam</t>
  </si>
  <si>
    <t xml:space="preserve">ahmad_fitness95</t>
  </si>
  <si>
    <t xml:space="preserve">https://www.instagram.com/ahmad_fitness95</t>
  </si>
  <si>
    <t xml:space="preserve">مدرب رياضة ولياقة، أخصائي تغذية، مدرب أونلاين معتمد في ألمانيا</t>
  </si>
  <si>
    <t xml:space="preserve">Ammar Al Moghrabi</t>
  </si>
  <si>
    <t xml:space="preserve">coach_ammar.mog</t>
  </si>
  <si>
    <t xml:space="preserve">https://www.instagram.com/coach_ammar.mog</t>
  </si>
  <si>
    <t xml:space="preserve">Online Coaching، تدريب وتغذية ومتابعة يومية، معتمد من الاتحاد الرياضي، WA متاح</t>
  </si>
  <si>
    <t xml:space="preserve">Cap Kamal Khadir</t>
  </si>
  <si>
    <t xml:space="preserve">cap_kamal11</t>
  </si>
  <si>
    <t xml:space="preserve">https://www.instagram.com/cap_kamal11</t>
  </si>
  <si>
    <t xml:space="preserve">Bodybuilder، Online Coach، Fat Loss &amp; Muscle Gain، الإمارات</t>
  </si>
  <si>
    <t xml:space="preserve">Moein Jamali</t>
  </si>
  <si>
    <t xml:space="preserve">moeinfit2</t>
  </si>
  <si>
    <t xml:space="preserve">https://www.instagram.com/moeinfit2</t>
  </si>
  <si>
    <t xml:space="preserve">Natural Physique، ISSA Certified PT / IFBB Coach، مسقط - عُمان</t>
  </si>
  <si>
    <t xml:space="preserve">Mohamad</t>
  </si>
  <si>
    <t xml:space="preserve">coach_mohamad_dxb</t>
  </si>
  <si>
    <t xml:space="preserve">https://www.instagram.com/coach_mohamad_dxb</t>
  </si>
  <si>
    <t xml:space="preserve">Personal Trainer Dubai، Obesity &amp; Fat Loss Specialist، دبي</t>
  </si>
  <si>
    <t xml:space="preserve">Mohamed Radwan</t>
  </si>
  <si>
    <t xml:space="preserve">radwan.fitlife</t>
  </si>
  <si>
    <t xml:space="preserve">https://www.instagram.com/radwan.fitlife</t>
  </si>
  <si>
    <t xml:space="preserve">Mr. Universe Abu Dhabi 2023، Dubai Muscle Show 2025، Personal 1:1 Online Coaching</t>
  </si>
  <si>
    <t xml:space="preserve">Hamed Samir</t>
  </si>
  <si>
    <t xml:space="preserve">hamedsamirr</t>
  </si>
  <si>
    <t xml:space="preserve">https://www.instagram.com/hamedsamirr</t>
  </si>
  <si>
    <t xml:space="preserve">Fitness Content، Online Training، Coach @befit.360، Online &amp; Physical Training</t>
  </si>
  <si>
    <t xml:space="preserve">Ahmad Ariqat</t>
  </si>
  <si>
    <t xml:space="preserve">ahmad.ariqat</t>
  </si>
  <si>
    <t xml:space="preserve">https://www.instagram.com/ahmad.ariqat</t>
  </si>
  <si>
    <t xml:space="preserve">NASM-CPT، Online Coach، Rehab &amp; Conditioning، 11+ yrs، Host @RoyaTV</t>
  </si>
  <si>
    <t xml:space="preserve">Ahmed Anas</t>
  </si>
  <si>
    <t xml:space="preserve">captain.ahmed.anas</t>
  </si>
  <si>
    <t xml:space="preserve">https://www.instagram.com/captain.ahmed.anas</t>
  </si>
  <si>
    <t xml:space="preserve">Personal Trainer، Nutrition specialist، أخصائي تغذية، Camera man CBC</t>
  </si>
  <si>
    <t xml:space="preserve">Karim Mohsn</t>
  </si>
  <si>
    <t xml:space="preserve">captin.karimmohsn</t>
  </si>
  <si>
    <t xml:space="preserve">https://www.instagram.com/captin.karimmohsn</t>
  </si>
  <si>
    <t xml:space="preserve">مدرب لياقة بدنية وأخصائي تغذية معتمد، Online Coach، WA متاح</t>
  </si>
  <si>
    <t xml:space="preserve">Mohamed Selem</t>
  </si>
  <si>
    <t xml:space="preserve">coachmohamedselem</t>
  </si>
  <si>
    <t xml:space="preserve">https://www.instagram.com/coachmohamedselem</t>
  </si>
  <si>
    <t xml:space="preserve">Abdalrhman</t>
  </si>
  <si>
    <t xml:space="preserve">abdalrhman.291</t>
  </si>
  <si>
    <t xml:space="preserve">https://www.instagram.com/abdalrhman.291</t>
  </si>
  <si>
    <t xml:space="preserve">Personal trainer، Online Coaching، Injury rehabilitation، Physiotherapist، YouTube</t>
  </si>
  <si>
    <t xml:space="preserve">📊 إحصائيات المجموعة الثانية — fitness_leads</t>
  </si>
  <si>
    <t xml:space="preserve">البيان</t>
  </si>
  <si>
    <t xml:space="preserve">القيمة</t>
  </si>
  <si>
    <t xml:space="preserve">إجمالي المدربين</t>
  </si>
  <si>
    <t xml:space="preserve">عدد الموثقين ✅</t>
  </si>
  <si>
    <t xml:space="preserve">عدد غير الموثقين ❌</t>
  </si>
  <si>
    <t xml:space="preserve">أعلى عدد متابعين</t>
  </si>
  <si>
    <t xml:space="preserve">متوسط المتابعين</t>
  </si>
  <si>
    <t xml:space="preserve">إجمالي المتابعين</t>
  </si>
  <si>
    <t xml:space="preserve">🏆 الموثقون — مرتبون تنازلياً بالمتابعين</t>
  </si>
  <si>
    <t xml:space="preserve">الاسم</t>
  </si>
  <si>
    <t xml:space="preserve">الرابط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</si>
</sst>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EFF"/>
        <bgColor rgb="FFC9E1F5"/>
      </patternFill>
    </fill>
    <fill>
      <patternFill patternType="solid">
        <fgColor rgb="FFC9E1F5"/>
        <bgColor rgb="FFDDEEFF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563C1"/>
      <rgbColor rgb="FFC9E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tagram.com/raafat_00" TargetMode="External"/><Relationship Id="rId2" Type="http://schemas.openxmlformats.org/officeDocument/2006/relationships/hyperlink" Target="https://www.instagram.com/coachhawary" TargetMode="External"/><Relationship Id="rId3" Type="http://schemas.openxmlformats.org/officeDocument/2006/relationships/hyperlink" Target="https://www.instagram.com/sh3.fit" TargetMode="External"/><Relationship Id="rId4" Type="http://schemas.openxmlformats.org/officeDocument/2006/relationships/hyperlink" Target="https://www.instagram.com/arafacoaching" TargetMode="External"/><Relationship Id="rId5" Type="http://schemas.openxmlformats.org/officeDocument/2006/relationships/hyperlink" Target="https://www.instagram.com/fares.coaching" TargetMode="External"/><Relationship Id="rId6" Type="http://schemas.openxmlformats.org/officeDocument/2006/relationships/hyperlink" Target="https://www.instagram.com/khalledanas" TargetMode="External"/><Relationship Id="rId7" Type="http://schemas.openxmlformats.org/officeDocument/2006/relationships/hyperlink" Target="https://www.instagram.com/cap_m.farag" TargetMode="External"/><Relationship Id="rId8" Type="http://schemas.openxmlformats.org/officeDocument/2006/relationships/hyperlink" Target="https://www.instagram.com/ahmad_qaissi_fit" TargetMode="External"/><Relationship Id="rId9" Type="http://schemas.openxmlformats.org/officeDocument/2006/relationships/hyperlink" Target="https://www.instagram.com/__ahmedelsheriif" TargetMode="External"/><Relationship Id="rId10" Type="http://schemas.openxmlformats.org/officeDocument/2006/relationships/hyperlink" Target="https://www.instagram.com/fitbros_911" TargetMode="External"/><Relationship Id="rId11" Type="http://schemas.openxmlformats.org/officeDocument/2006/relationships/hyperlink" Target="https://www.instagram.com/2k1sisi" TargetMode="External"/><Relationship Id="rId12" Type="http://schemas.openxmlformats.org/officeDocument/2006/relationships/hyperlink" Target="https://www.instagram.com/h.a.k._hut_anurak_online_co" TargetMode="External"/><Relationship Id="rId13" Type="http://schemas.openxmlformats.org/officeDocument/2006/relationships/hyperlink" Target="https://www.instagram.com/ahmad_fitness95" TargetMode="External"/><Relationship Id="rId14" Type="http://schemas.openxmlformats.org/officeDocument/2006/relationships/hyperlink" Target="https://www.instagram.com/coach_ammar.mog" TargetMode="External"/><Relationship Id="rId15" Type="http://schemas.openxmlformats.org/officeDocument/2006/relationships/hyperlink" Target="https://www.instagram.com/cap_kamal11" TargetMode="External"/><Relationship Id="rId16" Type="http://schemas.openxmlformats.org/officeDocument/2006/relationships/hyperlink" Target="https://www.instagram.com/moeinfit2" TargetMode="External"/><Relationship Id="rId17" Type="http://schemas.openxmlformats.org/officeDocument/2006/relationships/hyperlink" Target="https://www.instagram.com/coach_mohamad_dxb" TargetMode="External"/><Relationship Id="rId18" Type="http://schemas.openxmlformats.org/officeDocument/2006/relationships/hyperlink" Target="https://www.instagram.com/radwan.fitlife" TargetMode="External"/><Relationship Id="rId19" Type="http://schemas.openxmlformats.org/officeDocument/2006/relationships/hyperlink" Target="https://www.instagram.com/hamedsamirr" TargetMode="External"/><Relationship Id="rId20" Type="http://schemas.openxmlformats.org/officeDocument/2006/relationships/hyperlink" Target="https://www.instagram.com/ahmad.ariqat" TargetMode="External"/><Relationship Id="rId21" Type="http://schemas.openxmlformats.org/officeDocument/2006/relationships/hyperlink" Target="https://www.instagram.com/captain.ahmed.anas" TargetMode="External"/><Relationship Id="rId22" Type="http://schemas.openxmlformats.org/officeDocument/2006/relationships/hyperlink" Target="https://www.instagram.com/captin.karimmohsn" TargetMode="External"/><Relationship Id="rId23" Type="http://schemas.openxmlformats.org/officeDocument/2006/relationships/hyperlink" Target="https://www.instagram.com/coachmohamedselem" TargetMode="External"/><Relationship Id="rId24" Type="http://schemas.openxmlformats.org/officeDocument/2006/relationships/hyperlink" Target="https://www.instagram.com/abdalrhman.291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nstagram.com/captin.karimmohsn" TargetMode="External"/><Relationship Id="rId2" Type="http://schemas.openxmlformats.org/officeDocument/2006/relationships/hyperlink" Target="https://www.instagram.com/coachmohamedselem" TargetMode="External"/><Relationship Id="rId3" Type="http://schemas.openxmlformats.org/officeDocument/2006/relationships/hyperlink" Target="https://www.instagram.com/sh3.f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5"/>
    <col collapsed="false" customWidth="true" hidden="false" outlineLevel="0" max="4" min="4" style="0" width="45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0" hidden="false" customHeight="true" outlineLevel="0" collapsed="false">
      <c r="A2" s="2" t="n">
        <v>1</v>
      </c>
      <c r="B2" s="3" t="s">
        <v>7</v>
      </c>
      <c r="C2" s="3" t="s">
        <v>8</v>
      </c>
      <c r="D2" s="4" t="s">
        <v>9</v>
      </c>
      <c r="E2" s="2" t="n">
        <v>22700</v>
      </c>
      <c r="F2" s="2" t="s">
        <v>10</v>
      </c>
      <c r="G2" s="3" t="s">
        <v>11</v>
      </c>
    </row>
    <row r="3" customFormat="false" ht="30" hidden="false" customHeight="true" outlineLevel="0" collapsed="false">
      <c r="A3" s="5" t="n">
        <v>2</v>
      </c>
      <c r="B3" s="6" t="s">
        <v>12</v>
      </c>
      <c r="C3" s="6" t="s">
        <v>13</v>
      </c>
      <c r="D3" s="7" t="s">
        <v>14</v>
      </c>
      <c r="E3" s="5" t="n">
        <v>122000</v>
      </c>
      <c r="F3" s="5" t="s">
        <v>10</v>
      </c>
      <c r="G3" s="6" t="s">
        <v>15</v>
      </c>
    </row>
    <row r="4" customFormat="false" ht="30" hidden="false" customHeight="true" outlineLevel="0" collapsed="false">
      <c r="A4" s="8" t="n">
        <v>3</v>
      </c>
      <c r="B4" s="9" t="s">
        <v>16</v>
      </c>
      <c r="C4" s="9" t="s">
        <v>17</v>
      </c>
      <c r="D4" s="10" t="s">
        <v>18</v>
      </c>
      <c r="E4" s="8" t="n">
        <v>25700</v>
      </c>
      <c r="F4" s="8" t="s">
        <v>19</v>
      </c>
      <c r="G4" s="9" t="s">
        <v>20</v>
      </c>
    </row>
    <row r="5" customFormat="false" ht="30" hidden="false" customHeight="true" outlineLevel="0" collapsed="false">
      <c r="A5" s="5" t="n">
        <v>4</v>
      </c>
      <c r="B5" s="6" t="s">
        <v>21</v>
      </c>
      <c r="C5" s="6" t="s">
        <v>22</v>
      </c>
      <c r="D5" s="7" t="s">
        <v>23</v>
      </c>
      <c r="E5" s="5" t="n">
        <v>9798</v>
      </c>
      <c r="F5" s="5" t="s">
        <v>10</v>
      </c>
      <c r="G5" s="6" t="s">
        <v>24</v>
      </c>
    </row>
    <row r="6" customFormat="false" ht="30" hidden="false" customHeight="true" outlineLevel="0" collapsed="false">
      <c r="A6" s="2" t="n">
        <v>5</v>
      </c>
      <c r="B6" s="3" t="s">
        <v>25</v>
      </c>
      <c r="C6" s="3" t="s">
        <v>26</v>
      </c>
      <c r="D6" s="4" t="s">
        <v>27</v>
      </c>
      <c r="E6" s="2" t="n">
        <v>920</v>
      </c>
      <c r="F6" s="2" t="s">
        <v>10</v>
      </c>
      <c r="G6" s="3" t="s">
        <v>28</v>
      </c>
    </row>
    <row r="7" customFormat="false" ht="30" hidden="false" customHeight="true" outlineLevel="0" collapsed="false">
      <c r="A7" s="5" t="n">
        <v>6</v>
      </c>
      <c r="B7" s="6" t="s">
        <v>29</v>
      </c>
      <c r="C7" s="6" t="s">
        <v>30</v>
      </c>
      <c r="D7" s="7" t="s">
        <v>31</v>
      </c>
      <c r="E7" s="5" t="n">
        <v>5839</v>
      </c>
      <c r="F7" s="5" t="s">
        <v>10</v>
      </c>
      <c r="G7" s="6" t="s">
        <v>32</v>
      </c>
    </row>
    <row r="8" customFormat="false" ht="30" hidden="false" customHeight="true" outlineLevel="0" collapsed="false">
      <c r="A8" s="2" t="n">
        <v>7</v>
      </c>
      <c r="B8" s="3" t="s">
        <v>33</v>
      </c>
      <c r="C8" s="3" t="s">
        <v>34</v>
      </c>
      <c r="D8" s="4" t="s">
        <v>35</v>
      </c>
      <c r="E8" s="2" t="n">
        <v>3733</v>
      </c>
      <c r="F8" s="2" t="s">
        <v>10</v>
      </c>
      <c r="G8" s="3" t="s">
        <v>36</v>
      </c>
    </row>
    <row r="9" customFormat="false" ht="30" hidden="false" customHeight="true" outlineLevel="0" collapsed="false">
      <c r="A9" s="5" t="n">
        <v>8</v>
      </c>
      <c r="B9" s="6" t="s">
        <v>37</v>
      </c>
      <c r="C9" s="6" t="s">
        <v>38</v>
      </c>
      <c r="D9" s="7" t="s">
        <v>39</v>
      </c>
      <c r="E9" s="5" t="n">
        <v>2825</v>
      </c>
      <c r="F9" s="5" t="s">
        <v>10</v>
      </c>
      <c r="G9" s="6" t="s">
        <v>40</v>
      </c>
    </row>
    <row r="10" customFormat="false" ht="30" hidden="false" customHeight="true" outlineLevel="0" collapsed="false">
      <c r="A10" s="2" t="n">
        <v>9</v>
      </c>
      <c r="B10" s="3" t="s">
        <v>41</v>
      </c>
      <c r="C10" s="3" t="s">
        <v>42</v>
      </c>
      <c r="D10" s="4" t="s">
        <v>43</v>
      </c>
      <c r="E10" s="2" t="n">
        <v>13900</v>
      </c>
      <c r="F10" s="2" t="s">
        <v>10</v>
      </c>
      <c r="G10" s="3" t="s">
        <v>44</v>
      </c>
    </row>
    <row r="11" customFormat="false" ht="30" hidden="false" customHeight="true" outlineLevel="0" collapsed="false">
      <c r="A11" s="5" t="n">
        <v>10</v>
      </c>
      <c r="B11" s="6" t="s">
        <v>45</v>
      </c>
      <c r="C11" s="6" t="s">
        <v>46</v>
      </c>
      <c r="D11" s="7" t="s">
        <v>47</v>
      </c>
      <c r="E11" s="5" t="n">
        <v>14400</v>
      </c>
      <c r="F11" s="5" t="s">
        <v>10</v>
      </c>
      <c r="G11" s="6" t="s">
        <v>48</v>
      </c>
    </row>
    <row r="12" customFormat="false" ht="30" hidden="false" customHeight="true" outlineLevel="0" collapsed="false">
      <c r="A12" s="2" t="n">
        <v>11</v>
      </c>
      <c r="B12" s="3" t="s">
        <v>49</v>
      </c>
      <c r="C12" s="3" t="s">
        <v>50</v>
      </c>
      <c r="D12" s="4" t="s">
        <v>51</v>
      </c>
      <c r="E12" s="2" t="n">
        <v>2834</v>
      </c>
      <c r="F12" s="2" t="s">
        <v>10</v>
      </c>
      <c r="G12" s="3" t="s">
        <v>52</v>
      </c>
    </row>
    <row r="13" customFormat="false" ht="30" hidden="false" customHeight="true" outlineLevel="0" collapsed="false">
      <c r="A13" s="5" t="n">
        <v>12</v>
      </c>
      <c r="B13" s="6" t="s">
        <v>53</v>
      </c>
      <c r="C13" s="6" t="s">
        <v>54</v>
      </c>
      <c r="D13" s="7" t="s">
        <v>55</v>
      </c>
      <c r="E13" s="5" t="n">
        <v>44700</v>
      </c>
      <c r="F13" s="5" t="s">
        <v>10</v>
      </c>
      <c r="G13" s="6" t="s">
        <v>56</v>
      </c>
    </row>
    <row r="14" customFormat="false" ht="30" hidden="false" customHeight="true" outlineLevel="0" collapsed="false">
      <c r="A14" s="2" t="n">
        <v>13</v>
      </c>
      <c r="B14" s="3" t="s">
        <v>57</v>
      </c>
      <c r="C14" s="3" t="s">
        <v>58</v>
      </c>
      <c r="D14" s="4" t="s">
        <v>59</v>
      </c>
      <c r="E14" s="2" t="n">
        <v>384000</v>
      </c>
      <c r="F14" s="2" t="s">
        <v>10</v>
      </c>
      <c r="G14" s="3" t="s">
        <v>60</v>
      </c>
    </row>
    <row r="15" customFormat="false" ht="30" hidden="false" customHeight="true" outlineLevel="0" collapsed="false">
      <c r="A15" s="5" t="n">
        <v>14</v>
      </c>
      <c r="B15" s="6" t="s">
        <v>61</v>
      </c>
      <c r="C15" s="6" t="s">
        <v>62</v>
      </c>
      <c r="D15" s="7" t="s">
        <v>63</v>
      </c>
      <c r="E15" s="5" t="n">
        <v>2575</v>
      </c>
      <c r="F15" s="5" t="s">
        <v>10</v>
      </c>
      <c r="G15" s="6" t="s">
        <v>64</v>
      </c>
    </row>
    <row r="16" customFormat="false" ht="30" hidden="false" customHeight="true" outlineLevel="0" collapsed="false">
      <c r="A16" s="2" t="n">
        <v>15</v>
      </c>
      <c r="B16" s="3" t="s">
        <v>65</v>
      </c>
      <c r="C16" s="3" t="s">
        <v>66</v>
      </c>
      <c r="D16" s="4" t="s">
        <v>67</v>
      </c>
      <c r="E16" s="2" t="n">
        <v>1291</v>
      </c>
      <c r="F16" s="2" t="s">
        <v>10</v>
      </c>
      <c r="G16" s="3" t="s">
        <v>68</v>
      </c>
    </row>
    <row r="17" customFormat="false" ht="30" hidden="false" customHeight="true" outlineLevel="0" collapsed="false">
      <c r="A17" s="5" t="n">
        <v>16</v>
      </c>
      <c r="B17" s="6" t="s">
        <v>69</v>
      </c>
      <c r="C17" s="6" t="s">
        <v>70</v>
      </c>
      <c r="D17" s="7" t="s">
        <v>71</v>
      </c>
      <c r="E17" s="5" t="n">
        <v>469</v>
      </c>
      <c r="F17" s="5" t="s">
        <v>10</v>
      </c>
      <c r="G17" s="6" t="s">
        <v>72</v>
      </c>
    </row>
    <row r="18" customFormat="false" ht="30" hidden="false" customHeight="true" outlineLevel="0" collapsed="false">
      <c r="A18" s="2" t="n">
        <v>17</v>
      </c>
      <c r="B18" s="3" t="s">
        <v>73</v>
      </c>
      <c r="C18" s="3" t="s">
        <v>74</v>
      </c>
      <c r="D18" s="4" t="s">
        <v>75</v>
      </c>
      <c r="E18" s="2" t="n">
        <v>1675</v>
      </c>
      <c r="F18" s="2" t="s">
        <v>10</v>
      </c>
      <c r="G18" s="3" t="s">
        <v>76</v>
      </c>
    </row>
    <row r="19" customFormat="false" ht="30" hidden="false" customHeight="true" outlineLevel="0" collapsed="false">
      <c r="A19" s="5" t="n">
        <v>18</v>
      </c>
      <c r="B19" s="6" t="s">
        <v>77</v>
      </c>
      <c r="C19" s="6" t="s">
        <v>78</v>
      </c>
      <c r="D19" s="7" t="s">
        <v>79</v>
      </c>
      <c r="E19" s="5" t="n">
        <v>4957</v>
      </c>
      <c r="F19" s="5" t="s">
        <v>10</v>
      </c>
      <c r="G19" s="6" t="s">
        <v>80</v>
      </c>
    </row>
    <row r="20" customFormat="false" ht="30" hidden="false" customHeight="true" outlineLevel="0" collapsed="false">
      <c r="A20" s="2" t="n">
        <v>19</v>
      </c>
      <c r="B20" s="3" t="s">
        <v>81</v>
      </c>
      <c r="C20" s="3" t="s">
        <v>82</v>
      </c>
      <c r="D20" s="4" t="s">
        <v>83</v>
      </c>
      <c r="E20" s="2" t="n">
        <v>11400</v>
      </c>
      <c r="F20" s="2" t="s">
        <v>10</v>
      </c>
      <c r="G20" s="3" t="s">
        <v>84</v>
      </c>
    </row>
    <row r="21" customFormat="false" ht="30" hidden="false" customHeight="true" outlineLevel="0" collapsed="false">
      <c r="A21" s="5" t="n">
        <v>20</v>
      </c>
      <c r="B21" s="6" t="s">
        <v>85</v>
      </c>
      <c r="C21" s="6" t="s">
        <v>86</v>
      </c>
      <c r="D21" s="7" t="s">
        <v>87</v>
      </c>
      <c r="E21" s="5" t="n">
        <v>14200</v>
      </c>
      <c r="F21" s="5" t="s">
        <v>10</v>
      </c>
      <c r="G21" s="6" t="s">
        <v>88</v>
      </c>
    </row>
    <row r="22" customFormat="false" ht="30" hidden="false" customHeight="true" outlineLevel="0" collapsed="false">
      <c r="A22" s="2" t="n">
        <v>21</v>
      </c>
      <c r="B22" s="3" t="s">
        <v>89</v>
      </c>
      <c r="C22" s="3" t="s">
        <v>90</v>
      </c>
      <c r="D22" s="4" t="s">
        <v>91</v>
      </c>
      <c r="E22" s="2" t="n">
        <v>3332</v>
      </c>
      <c r="F22" s="2" t="s">
        <v>10</v>
      </c>
      <c r="G22" s="3" t="s">
        <v>92</v>
      </c>
    </row>
    <row r="23" customFormat="false" ht="30" hidden="false" customHeight="true" outlineLevel="0" collapsed="false">
      <c r="A23" s="8" t="n">
        <v>22</v>
      </c>
      <c r="B23" s="9" t="s">
        <v>93</v>
      </c>
      <c r="C23" s="9" t="s">
        <v>94</v>
      </c>
      <c r="D23" s="10" t="s">
        <v>95</v>
      </c>
      <c r="E23" s="8" t="n">
        <v>736000</v>
      </c>
      <c r="F23" s="8" t="s">
        <v>19</v>
      </c>
      <c r="G23" s="9" t="s">
        <v>96</v>
      </c>
    </row>
    <row r="24" customFormat="false" ht="30" hidden="false" customHeight="true" outlineLevel="0" collapsed="false">
      <c r="A24" s="8" t="n">
        <v>23</v>
      </c>
      <c r="B24" s="9" t="s">
        <v>97</v>
      </c>
      <c r="C24" s="9" t="s">
        <v>98</v>
      </c>
      <c r="D24" s="10" t="s">
        <v>99</v>
      </c>
      <c r="E24" s="8" t="n">
        <v>624000</v>
      </c>
      <c r="F24" s="8" t="s">
        <v>19</v>
      </c>
      <c r="G24" s="9" t="s">
        <v>96</v>
      </c>
    </row>
    <row r="25" customFormat="false" ht="30" hidden="false" customHeight="true" outlineLevel="0" collapsed="false">
      <c r="A25" s="5" t="n">
        <v>24</v>
      </c>
      <c r="B25" s="6" t="s">
        <v>100</v>
      </c>
      <c r="C25" s="6" t="s">
        <v>101</v>
      </c>
      <c r="D25" s="7" t="s">
        <v>102</v>
      </c>
      <c r="E25" s="5" t="n">
        <v>9085</v>
      </c>
      <c r="F25" s="5" t="s">
        <v>10</v>
      </c>
      <c r="G25" s="6" t="s">
        <v>103</v>
      </c>
    </row>
  </sheetData>
  <hyperlinks>
    <hyperlink ref="D2" r:id="rId1" display="https://www.instagram.com/raafat_00"/>
    <hyperlink ref="D3" r:id="rId2" display="https://www.instagram.com/coachhawary"/>
    <hyperlink ref="D4" r:id="rId3" display="https://www.instagram.com/sh3.fit"/>
    <hyperlink ref="D5" r:id="rId4" display="https://www.instagram.com/arafacoaching"/>
    <hyperlink ref="D6" r:id="rId5" display="https://www.instagram.com/fares.coaching"/>
    <hyperlink ref="D7" r:id="rId6" display="https://www.instagram.com/khalledanas"/>
    <hyperlink ref="D8" r:id="rId7" display="https://www.instagram.com/cap_m.farag"/>
    <hyperlink ref="D9" r:id="rId8" display="https://www.instagram.com/ahmad_qaissi_fit"/>
    <hyperlink ref="D10" r:id="rId9" display="https://www.instagram.com/__ahmedelsheriif"/>
    <hyperlink ref="D11" r:id="rId10" display="https://www.instagram.com/fitbros_911"/>
    <hyperlink ref="D12" r:id="rId11" display="https://www.instagram.com/2k1sisi"/>
    <hyperlink ref="D13" r:id="rId12" display="https://www.instagram.com/h.a.k._hut_anurak_online_co"/>
    <hyperlink ref="D14" r:id="rId13" display="https://www.instagram.com/ahmad_fitness95"/>
    <hyperlink ref="D15" r:id="rId14" display="https://www.instagram.com/coach_ammar.mog"/>
    <hyperlink ref="D16" r:id="rId15" display="https://www.instagram.com/cap_kamal11"/>
    <hyperlink ref="D17" r:id="rId16" display="https://www.instagram.com/moeinfit2"/>
    <hyperlink ref="D18" r:id="rId17" display="https://www.instagram.com/coach_mohamad_dxb"/>
    <hyperlink ref="D19" r:id="rId18" display="https://www.instagram.com/radwan.fitlife"/>
    <hyperlink ref="D20" r:id="rId19" display="https://www.instagram.com/hamedsamirr"/>
    <hyperlink ref="D21" r:id="rId20" display="https://www.instagram.com/ahmad.ariqat"/>
    <hyperlink ref="D22" r:id="rId21" display="https://www.instagram.com/captain.ahmed.anas"/>
    <hyperlink ref="D23" r:id="rId22" display="https://www.instagram.com/captin.karimmohsn"/>
    <hyperlink ref="D24" r:id="rId23" display="https://www.instagram.com/coachmohamedselem"/>
    <hyperlink ref="D25" r:id="rId24" display="https://www.instagram.com/abdalrhman.29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28"/>
    <col collapsed="false" customWidth="true" hidden="false" outlineLevel="0" max="4" min="4" style="0" width="45"/>
    <col collapsed="false" customWidth="true" hidden="false" outlineLevel="0" max="5" min="5" style="0" width="15"/>
  </cols>
  <sheetData>
    <row r="2" customFormat="false" ht="17.15" hidden="false" customHeight="false" outlineLevel="0" collapsed="false">
      <c r="B2" s="11" t="s">
        <v>104</v>
      </c>
      <c r="C2" s="11"/>
      <c r="D2" s="11"/>
      <c r="E2" s="11"/>
      <c r="F2" s="11"/>
    </row>
    <row r="4" customFormat="false" ht="15" hidden="false" customHeight="false" outlineLevel="0" collapsed="false">
      <c r="B4" s="12" t="s">
        <v>105</v>
      </c>
      <c r="C4" s="12" t="s">
        <v>106</v>
      </c>
    </row>
    <row r="5" customFormat="false" ht="15" hidden="false" customHeight="false" outlineLevel="0" collapsed="false">
      <c r="B5" s="13" t="s">
        <v>107</v>
      </c>
      <c r="C5" s="14" t="n">
        <f aca="false">COUNTA(المدربين!B2:B1000)</f>
        <v>24</v>
      </c>
    </row>
    <row r="6" customFormat="false" ht="15" hidden="false" customHeight="false" outlineLevel="0" collapsed="false">
      <c r="B6" s="15" t="s">
        <v>108</v>
      </c>
      <c r="C6" s="16" t="n">
        <f aca="false">COUNTIF(المدربين!F2:F1000,"✅")</f>
        <v>3</v>
      </c>
    </row>
    <row r="7" customFormat="false" ht="15" hidden="false" customHeight="false" outlineLevel="0" collapsed="false">
      <c r="B7" s="13" t="s">
        <v>109</v>
      </c>
      <c r="C7" s="14" t="n">
        <f aca="false">COUNTIF(المدربين!F2:F1000,"❌")</f>
        <v>21</v>
      </c>
    </row>
    <row r="8" customFormat="false" ht="15" hidden="false" customHeight="false" outlineLevel="0" collapsed="false">
      <c r="B8" s="15" t="s">
        <v>110</v>
      </c>
      <c r="C8" s="16" t="n">
        <f aca="false">MAX(المدربين!E2:E1000)</f>
        <v>736000</v>
      </c>
    </row>
    <row r="9" customFormat="false" ht="15" hidden="false" customHeight="false" outlineLevel="0" collapsed="false">
      <c r="B9" s="13" t="s">
        <v>111</v>
      </c>
      <c r="C9" s="14" t="n">
        <f aca="false">AVERAGE(المدربين!E2:E1000)</f>
        <v>85930.5416666667</v>
      </c>
    </row>
    <row r="10" customFormat="false" ht="15" hidden="false" customHeight="false" outlineLevel="0" collapsed="false">
      <c r="B10" s="15" t="s">
        <v>112</v>
      </c>
      <c r="C10" s="16" t="n">
        <f aca="false">SUM(المدربين!E2:E1000)</f>
        <v>2062333</v>
      </c>
    </row>
    <row r="12" customFormat="false" ht="15" hidden="false" customHeight="false" outlineLevel="0" collapsed="false">
      <c r="B12" s="17" t="s">
        <v>113</v>
      </c>
      <c r="C12" s="17"/>
      <c r="D12" s="17"/>
      <c r="E12" s="17"/>
      <c r="F12" s="17"/>
    </row>
    <row r="13" customFormat="false" ht="15" hidden="false" customHeight="false" outlineLevel="0" collapsed="false">
      <c r="B13" s="12" t="s">
        <v>114</v>
      </c>
      <c r="C13" s="12" t="s">
        <v>2</v>
      </c>
      <c r="D13" s="12" t="s">
        <v>115</v>
      </c>
      <c r="E13" s="12" t="s">
        <v>4</v>
      </c>
    </row>
    <row r="14" customFormat="false" ht="15" hidden="false" customHeight="false" outlineLevel="0" collapsed="false">
      <c r="B14" s="18" t="s">
        <v>93</v>
      </c>
      <c r="C14" s="18" t="s">
        <v>94</v>
      </c>
      <c r="D14" s="19" t="s">
        <v>95</v>
      </c>
      <c r="E14" s="20" t="n">
        <v>736000</v>
      </c>
    </row>
    <row r="15" customFormat="false" ht="15" hidden="false" customHeight="false" outlineLevel="0" collapsed="false">
      <c r="B15" s="18" t="s">
        <v>97</v>
      </c>
      <c r="C15" s="18" t="s">
        <v>98</v>
      </c>
      <c r="D15" s="19" t="s">
        <v>99</v>
      </c>
      <c r="E15" s="20" t="n">
        <v>624000</v>
      </c>
    </row>
    <row r="16" customFormat="false" ht="15" hidden="false" customHeight="false" outlineLevel="0" collapsed="false">
      <c r="B16" s="18" t="s">
        <v>16</v>
      </c>
      <c r="C16" s="18" t="s">
        <v>17</v>
      </c>
      <c r="D16" s="19" t="s">
        <v>18</v>
      </c>
      <c r="E16" s="20" t="n">
        <v>25700</v>
      </c>
    </row>
  </sheetData>
  <mergeCells count="2">
    <mergeCell ref="B2:F2"/>
    <mergeCell ref="B12:F12"/>
  </mergeCells>
  <hyperlinks>
    <hyperlink ref="D14" r:id="rId1" display="https://www.instagram.com/captin.karimmohsn"/>
    <hyperlink ref="D15" r:id="rId2" display="https://www.instagram.com/coachmohamedselem"/>
    <hyperlink ref="D16" r:id="rId3" display="https://www.instagram.com/sh3.fi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2026-04-18T08:54:28Z</dcterms:created>
  <dc:creator>openpyxl</dc:creator>
  <dc:description/>
  <dc:language>en-US</dc:language>
  <cp:lastModifiedBy/>
  <dcterms:modified xsi:type="dcterms:W3CDTF">2026-04-18T08:54:28Z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